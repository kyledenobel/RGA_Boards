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Owner\Desktop\ECE 4014\RGA\RGA_Boards\phase90\JFET characterization\"/>
    </mc:Choice>
  </mc:AlternateContent>
  <xr:revisionPtr revIDLastSave="0" documentId="13_ncr:1_{21B34F56-DA2A-4CE7-9839-97E264AEBFE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C4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G2" i="1"/>
  <c r="C2" i="1" s="1"/>
  <c r="G3" i="1"/>
  <c r="C3" i="1" s="1"/>
  <c r="G4" i="1"/>
  <c r="G5" i="1"/>
  <c r="C5" i="1" s="1"/>
  <c r="G6" i="1"/>
  <c r="C6" i="1" s="1"/>
  <c r="G7" i="1"/>
  <c r="C7" i="1" s="1"/>
  <c r="G8" i="1"/>
  <c r="C8" i="1" s="1"/>
  <c r="G9" i="1"/>
  <c r="C9" i="1" s="1"/>
  <c r="G10" i="1"/>
  <c r="C10" i="1" s="1"/>
  <c r="G11" i="1"/>
  <c r="C11" i="1" s="1"/>
  <c r="G12" i="1"/>
  <c r="C12" i="1" s="1"/>
  <c r="G13" i="1"/>
  <c r="C13" i="1" s="1"/>
  <c r="G14" i="1"/>
  <c r="C14" i="1" s="1"/>
  <c r="G15" i="1"/>
  <c r="C15" i="1" s="1"/>
  <c r="G16" i="1"/>
  <c r="C16" i="1" s="1"/>
  <c r="G17" i="1"/>
  <c r="C17" i="1" s="1"/>
  <c r="G18" i="1"/>
  <c r="C18" i="1" s="1"/>
  <c r="G19" i="1"/>
  <c r="C19" i="1" s="1"/>
  <c r="G20" i="1"/>
  <c r="C20" i="1" s="1"/>
  <c r="G21" i="1"/>
  <c r="C21" i="1" s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</calcChain>
</file>

<file path=xl/sharedStrings.xml><?xml version="1.0" encoding="utf-8"?>
<sst xmlns="http://schemas.openxmlformats.org/spreadsheetml/2006/main" count="10" uniqueCount="10">
  <si>
    <t>JFET number</t>
  </si>
  <si>
    <t>Vgs1</t>
  </si>
  <si>
    <t>Beta</t>
  </si>
  <si>
    <t>Vto</t>
  </si>
  <si>
    <t>Idss/4 (mA)</t>
  </si>
  <si>
    <t>Vin (mV)</t>
  </si>
  <si>
    <t>Vout (mV)</t>
  </si>
  <si>
    <t>Idss (mA)</t>
  </si>
  <si>
    <t>Rgs1</t>
  </si>
  <si>
    <t>Rdson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</si>
</sst>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Fill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6CD5A0-A869-49C9-8D48-AD834D5D2FC5}" name="Table1" displayName="Table1" ref="A1:J21" totalsRowShown="0">
  <autoFilter ref="A1:J21" xr:uid="{B46CD5A0-A869-49C9-8D48-AD834D5D2FC5}"/>
  <tableColumns count="10">
    <tableColumn id="1" xr3:uid="{9B547DEC-811B-4E63-A80F-AB8FCAA9868D}" name="JFET number"/>
    <tableColumn id="2" xr3:uid="{0388F1F5-6784-4F51-9BE0-DD0D4B2E34F4}" name="Idss (mA)"/>
    <tableColumn id="10" xr3:uid="{4F3BEE6B-9395-40E7-8758-EBF4E3CA9B48}" name="Vgs1" dataDxfId="4">
      <calculatedColumnFormula>0-15+G2*D2*0.001</calculatedColumnFormula>
    </tableColumn>
    <tableColumn id="3" xr3:uid="{EA397B9A-768D-425D-AFB5-214A5302FDA8}" name="Rgs1"/>
    <tableColumn id="4" xr3:uid="{34AB69A6-4FA6-4DE0-B121-6C932A717D84}" name="Beta" dataDxfId="3">
      <calculatedColumnFormula>B2/(4*D2*D2)</calculatedColumnFormula>
    </tableColumn>
    <tableColumn id="5" xr3:uid="{B3D0C7AD-ECDE-4382-9AEE-EF201B4C1419}" name="Vto" dataDxfId="2">
      <calculatedColumnFormula>2*D2*0.001</calculatedColumnFormula>
    </tableColumn>
    <tableColumn id="6" xr3:uid="{90732221-72A7-4750-8472-FD912D897A39}" name="Idss/4 (mA)" dataDxfId="1">
      <calculatedColumnFormula>B2/4</calculatedColumnFormula>
    </tableColumn>
    <tableColumn id="7" xr3:uid="{F74B3BEF-DD30-42A9-B3CA-26DA01E88213}" name="Vin (mV)"/>
    <tableColumn id="8" xr3:uid="{ED07ED67-59A7-4C04-AB09-63E7F88307EE}" name="Vout (mV)"/>
    <tableColumn id="9" xr3:uid="{724CB172-CA09-4430-8A5A-0D31ACF205E1}" name="Rdson" dataDxfId="0">
      <calculatedColumnFormula>510*I2/(H2-I2)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"/>
  <sheetViews>
    <sheetView tabSelected="1" workbookViewId="0">
      <selection activeCell="J7" sqref="J7"/>
    </sheetView>
  </sheetViews>
  <sheetFormatPr defaultRowHeight="14.4" x14ac:dyDescent="0.3"/>
  <cols>
    <col min="1" max="1" width="17.6640625" customWidth="1"/>
    <col min="2" max="3" width="14.6640625" customWidth="1"/>
    <col min="4" max="4" width="11.88671875" customWidth="1"/>
    <col min="5" max="5" width="26.88671875" customWidth="1"/>
    <col min="6" max="6" width="14" customWidth="1"/>
    <col min="7" max="7" width="14.33203125" customWidth="1"/>
    <col min="8" max="8" width="14.109375" customWidth="1"/>
    <col min="9" max="9" width="16.109375" customWidth="1"/>
    <col min="10" max="10" width="15.88671875" customWidth="1"/>
  </cols>
  <sheetData>
    <row r="1" spans="1:10" x14ac:dyDescent="0.3">
      <c r="A1" t="s">
        <v>0</v>
      </c>
      <c r="B1" t="s">
        <v>7</v>
      </c>
      <c r="C1" t="s">
        <v>1</v>
      </c>
      <c r="D1" t="s">
        <v>8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9</v>
      </c>
    </row>
    <row r="2" spans="1:10" s="2" customFormat="1" x14ac:dyDescent="0.3">
      <c r="A2" s="2">
        <v>1</v>
      </c>
      <c r="B2" s="2">
        <v>8.3000000000000007</v>
      </c>
      <c r="C2" s="2">
        <f t="shared" ref="C2:C21" si="0">0-15+G2*D2*0.001</f>
        <v>-13.516375</v>
      </c>
      <c r="D2" s="2">
        <v>715</v>
      </c>
      <c r="E2" s="2">
        <f t="shared" ref="E2:E21" si="1">B2/(4*D2*D2)</f>
        <v>4.0588781847523108E-6</v>
      </c>
      <c r="F2" s="2">
        <f t="shared" ref="F2:F21" si="2">2*D2*0.001</f>
        <v>1.43</v>
      </c>
      <c r="G2" s="2">
        <f t="shared" ref="G2:G21" si="3">B2/4</f>
        <v>2.0750000000000002</v>
      </c>
      <c r="J2" s="2" t="e">
        <f t="shared" ref="J2:J21" si="4">510*I2/(H2-I2)</f>
        <v>#DIV/0!</v>
      </c>
    </row>
    <row r="3" spans="1:10" x14ac:dyDescent="0.3">
      <c r="A3">
        <v>2</v>
      </c>
      <c r="B3">
        <v>10</v>
      </c>
      <c r="C3">
        <f t="shared" si="0"/>
        <v>-13.29</v>
      </c>
      <c r="D3">
        <v>684</v>
      </c>
      <c r="E3">
        <f t="shared" si="1"/>
        <v>5.3435245032659618E-6</v>
      </c>
      <c r="F3">
        <f t="shared" si="2"/>
        <v>1.3680000000000001</v>
      </c>
      <c r="G3">
        <f t="shared" si="3"/>
        <v>2.5</v>
      </c>
      <c r="J3" t="e">
        <f t="shared" si="4"/>
        <v>#DIV/0!</v>
      </c>
    </row>
    <row r="4" spans="1:10" s="1" customFormat="1" x14ac:dyDescent="0.3">
      <c r="A4" s="1">
        <v>3</v>
      </c>
      <c r="B4" s="1">
        <v>9.1999999999999993</v>
      </c>
      <c r="C4" s="1">
        <f t="shared" si="0"/>
        <v>-13.378500000000001</v>
      </c>
      <c r="D4" s="1">
        <v>705</v>
      </c>
      <c r="E4" s="1">
        <f t="shared" si="1"/>
        <v>4.6275338262662841E-6</v>
      </c>
      <c r="F4" s="1">
        <f t="shared" si="2"/>
        <v>1.41</v>
      </c>
      <c r="G4" s="1">
        <f t="shared" si="3"/>
        <v>2.2999999999999998</v>
      </c>
      <c r="J4" s="1" t="e">
        <f t="shared" si="4"/>
        <v>#DIV/0!</v>
      </c>
    </row>
    <row r="5" spans="1:10" s="1" customFormat="1" x14ac:dyDescent="0.3">
      <c r="A5" s="1">
        <v>4</v>
      </c>
      <c r="B5" s="1">
        <v>9.1</v>
      </c>
      <c r="C5" s="1">
        <f t="shared" si="0"/>
        <v>-13.396125</v>
      </c>
      <c r="D5" s="1">
        <v>705</v>
      </c>
      <c r="E5" s="1">
        <f t="shared" si="1"/>
        <v>4.5772345455459985E-6</v>
      </c>
      <c r="F5" s="1">
        <f t="shared" si="2"/>
        <v>1.41</v>
      </c>
      <c r="G5" s="1">
        <f t="shared" si="3"/>
        <v>2.2749999999999999</v>
      </c>
      <c r="J5" s="1" t="e">
        <f t="shared" si="4"/>
        <v>#DIV/0!</v>
      </c>
    </row>
    <row r="6" spans="1:10" s="2" customFormat="1" x14ac:dyDescent="0.3">
      <c r="A6" s="2">
        <v>5</v>
      </c>
      <c r="B6" s="2">
        <v>8.5</v>
      </c>
      <c r="C6" s="2">
        <f t="shared" si="0"/>
        <v>-13.480625</v>
      </c>
      <c r="D6" s="2">
        <v>715</v>
      </c>
      <c r="E6" s="2">
        <f t="shared" si="1"/>
        <v>4.1566824783608002E-6</v>
      </c>
      <c r="F6" s="2">
        <f t="shared" si="2"/>
        <v>1.43</v>
      </c>
      <c r="G6" s="2">
        <f t="shared" si="3"/>
        <v>2.125</v>
      </c>
      <c r="H6" s="2">
        <v>188</v>
      </c>
      <c r="I6" s="2">
        <v>46</v>
      </c>
      <c r="J6" s="2">
        <f t="shared" si="4"/>
        <v>165.21126760563379</v>
      </c>
    </row>
    <row r="7" spans="1:10" s="3" customFormat="1" x14ac:dyDescent="0.3">
      <c r="A7" s="3">
        <v>6</v>
      </c>
      <c r="B7" s="3">
        <v>8.3000000000000007</v>
      </c>
      <c r="C7" s="3">
        <f t="shared" si="0"/>
        <v>-13.499775</v>
      </c>
      <c r="D7" s="3">
        <v>723</v>
      </c>
      <c r="E7" s="3">
        <f t="shared" si="1"/>
        <v>3.9695521006104503E-6</v>
      </c>
      <c r="F7" s="3">
        <f t="shared" si="2"/>
        <v>1.446</v>
      </c>
      <c r="G7" s="3">
        <f t="shared" si="3"/>
        <v>2.0750000000000002</v>
      </c>
      <c r="H7" s="3">
        <v>188</v>
      </c>
      <c r="I7" s="3">
        <v>47</v>
      </c>
      <c r="J7" s="3">
        <f t="shared" si="4"/>
        <v>170</v>
      </c>
    </row>
    <row r="8" spans="1:10" s="3" customFormat="1" x14ac:dyDescent="0.3">
      <c r="A8" s="3">
        <v>7</v>
      </c>
      <c r="B8" s="3">
        <v>8.5</v>
      </c>
      <c r="C8" s="3">
        <f t="shared" si="0"/>
        <v>-13.463625</v>
      </c>
      <c r="D8" s="3">
        <v>723</v>
      </c>
      <c r="E8" s="3">
        <f t="shared" si="1"/>
        <v>4.0652039584564853E-6</v>
      </c>
      <c r="F8" s="3">
        <f t="shared" si="2"/>
        <v>1.446</v>
      </c>
      <c r="G8" s="3">
        <f t="shared" si="3"/>
        <v>2.125</v>
      </c>
      <c r="J8" s="3" t="e">
        <f t="shared" si="4"/>
        <v>#DIV/0!</v>
      </c>
    </row>
    <row r="9" spans="1:10" x14ac:dyDescent="0.3">
      <c r="A9">
        <v>8</v>
      </c>
      <c r="B9">
        <v>7.25</v>
      </c>
      <c r="C9">
        <f t="shared" si="0"/>
        <v>-13.666</v>
      </c>
      <c r="D9">
        <v>736</v>
      </c>
      <c r="E9">
        <f t="shared" si="1"/>
        <v>3.3459726488657847E-6</v>
      </c>
      <c r="F9">
        <f t="shared" si="2"/>
        <v>1.472</v>
      </c>
      <c r="G9">
        <f t="shared" si="3"/>
        <v>1.8125</v>
      </c>
      <c r="J9" t="e">
        <f t="shared" si="4"/>
        <v>#DIV/0!</v>
      </c>
    </row>
    <row r="10" spans="1:10" x14ac:dyDescent="0.3">
      <c r="A10">
        <v>9</v>
      </c>
      <c r="B10">
        <v>7.6</v>
      </c>
      <c r="C10">
        <f t="shared" si="0"/>
        <v>-13.6282</v>
      </c>
      <c r="D10">
        <v>722</v>
      </c>
      <c r="E10">
        <f t="shared" si="1"/>
        <v>3.6448461874908875E-6</v>
      </c>
      <c r="F10">
        <f t="shared" si="2"/>
        <v>1.444</v>
      </c>
      <c r="G10">
        <f t="shared" si="3"/>
        <v>1.9</v>
      </c>
      <c r="J10" t="e">
        <f t="shared" si="4"/>
        <v>#DIV/0!</v>
      </c>
    </row>
    <row r="11" spans="1:10" s="1" customFormat="1" x14ac:dyDescent="0.3">
      <c r="A11" s="1">
        <v>10</v>
      </c>
      <c r="B11" s="1">
        <v>8.8000000000000007</v>
      </c>
      <c r="C11" s="1">
        <f t="shared" si="0"/>
        <v>-13.4688</v>
      </c>
      <c r="D11" s="1">
        <v>696</v>
      </c>
      <c r="E11" s="1">
        <f t="shared" si="1"/>
        <v>4.5415510635486858E-6</v>
      </c>
      <c r="F11" s="1">
        <f t="shared" si="2"/>
        <v>1.3920000000000001</v>
      </c>
      <c r="G11" s="1">
        <f t="shared" si="3"/>
        <v>2.2000000000000002</v>
      </c>
      <c r="J11" s="1" t="e">
        <f t="shared" si="4"/>
        <v>#DIV/0!</v>
      </c>
    </row>
    <row r="12" spans="1:10" s="2" customFormat="1" x14ac:dyDescent="0.3">
      <c r="A12" s="2">
        <v>11</v>
      </c>
      <c r="B12" s="2">
        <v>8.4499999999999993</v>
      </c>
      <c r="C12" s="2">
        <f t="shared" si="0"/>
        <v>-13.4980125</v>
      </c>
      <c r="D12" s="2">
        <v>711</v>
      </c>
      <c r="E12" s="2">
        <f t="shared" si="1"/>
        <v>4.1788570603397284E-6</v>
      </c>
      <c r="F12" s="2">
        <f t="shared" si="2"/>
        <v>1.4219999999999999</v>
      </c>
      <c r="G12" s="2">
        <f t="shared" si="3"/>
        <v>2.1124999999999998</v>
      </c>
      <c r="J12" s="2" t="e">
        <f t="shared" si="4"/>
        <v>#DIV/0!</v>
      </c>
    </row>
    <row r="13" spans="1:10" s="2" customFormat="1" x14ac:dyDescent="0.3">
      <c r="A13" s="2">
        <v>12</v>
      </c>
      <c r="B13" s="2">
        <v>8.6</v>
      </c>
      <c r="C13" s="2">
        <f t="shared" si="0"/>
        <v>-13.456300000000001</v>
      </c>
      <c r="D13" s="2">
        <v>718</v>
      </c>
      <c r="E13" s="2">
        <f t="shared" si="1"/>
        <v>4.170513884901576E-6</v>
      </c>
      <c r="F13" s="2">
        <f t="shared" si="2"/>
        <v>1.4359999999999999</v>
      </c>
      <c r="G13" s="2">
        <f t="shared" si="3"/>
        <v>2.15</v>
      </c>
      <c r="J13" s="2" t="e">
        <f t="shared" si="4"/>
        <v>#DIV/0!</v>
      </c>
    </row>
    <row r="14" spans="1:10" s="1" customFormat="1" x14ac:dyDescent="0.3">
      <c r="A14" s="1">
        <v>13</v>
      </c>
      <c r="B14" s="1">
        <v>8.9</v>
      </c>
      <c r="C14" s="1">
        <f t="shared" si="0"/>
        <v>-13.4336</v>
      </c>
      <c r="D14" s="1">
        <v>704</v>
      </c>
      <c r="E14" s="1">
        <f t="shared" si="1"/>
        <v>4.4893627324380165E-6</v>
      </c>
      <c r="F14" s="1">
        <f t="shared" si="2"/>
        <v>1.4079999999999999</v>
      </c>
      <c r="G14" s="1">
        <f t="shared" si="3"/>
        <v>2.2250000000000001</v>
      </c>
      <c r="H14" s="1">
        <v>188</v>
      </c>
      <c r="I14" s="1">
        <v>46</v>
      </c>
      <c r="J14" s="1">
        <f t="shared" si="4"/>
        <v>165.21126760563379</v>
      </c>
    </row>
    <row r="15" spans="1:10" x14ac:dyDescent="0.3">
      <c r="A15">
        <v>14</v>
      </c>
      <c r="B15">
        <v>9.9</v>
      </c>
      <c r="C15">
        <f t="shared" si="0"/>
        <v>-13.299675000000001</v>
      </c>
      <c r="D15">
        <v>687</v>
      </c>
      <c r="E15">
        <f t="shared" si="1"/>
        <v>5.2439884822943885E-6</v>
      </c>
      <c r="F15">
        <f t="shared" si="2"/>
        <v>1.3740000000000001</v>
      </c>
      <c r="G15">
        <f t="shared" si="3"/>
        <v>2.4750000000000001</v>
      </c>
      <c r="J15" t="e">
        <f t="shared" si="4"/>
        <v>#DIV/0!</v>
      </c>
    </row>
    <row r="16" spans="1:10" x14ac:dyDescent="0.3">
      <c r="A16">
        <v>15</v>
      </c>
      <c r="B16">
        <v>10</v>
      </c>
      <c r="C16">
        <f t="shared" si="0"/>
        <v>-13.29</v>
      </c>
      <c r="D16">
        <v>684</v>
      </c>
      <c r="E16">
        <f t="shared" si="1"/>
        <v>5.3435245032659618E-6</v>
      </c>
      <c r="F16">
        <f t="shared" si="2"/>
        <v>1.3680000000000001</v>
      </c>
      <c r="G16">
        <f t="shared" si="3"/>
        <v>2.5</v>
      </c>
      <c r="J16" t="e">
        <f t="shared" si="4"/>
        <v>#DIV/0!</v>
      </c>
    </row>
    <row r="17" spans="1:10" s="3" customFormat="1" x14ac:dyDescent="0.3">
      <c r="A17" s="3">
        <v>16</v>
      </c>
      <c r="B17" s="3">
        <v>8.1999999999999993</v>
      </c>
      <c r="C17" s="3">
        <f t="shared" si="0"/>
        <v>-13.524000000000001</v>
      </c>
      <c r="D17" s="3">
        <v>720</v>
      </c>
      <c r="E17" s="3">
        <f t="shared" si="1"/>
        <v>3.9544753086419754E-6</v>
      </c>
      <c r="F17" s="3">
        <f t="shared" si="2"/>
        <v>1.44</v>
      </c>
      <c r="G17" s="3">
        <f t="shared" si="3"/>
        <v>2.0499999999999998</v>
      </c>
      <c r="J17" s="3" t="e">
        <f t="shared" si="4"/>
        <v>#DIV/0!</v>
      </c>
    </row>
    <row r="18" spans="1:10" x14ac:dyDescent="0.3">
      <c r="A18">
        <v>17</v>
      </c>
      <c r="B18">
        <v>9.5</v>
      </c>
      <c r="C18">
        <f t="shared" si="0"/>
        <v>-13.327999999999999</v>
      </c>
      <c r="D18">
        <v>704</v>
      </c>
      <c r="E18">
        <f t="shared" si="1"/>
        <v>4.7920163997933886E-6</v>
      </c>
      <c r="F18">
        <f t="shared" si="2"/>
        <v>1.4079999999999999</v>
      </c>
      <c r="G18">
        <f t="shared" si="3"/>
        <v>2.375</v>
      </c>
      <c r="J18" t="e">
        <f t="shared" si="4"/>
        <v>#DIV/0!</v>
      </c>
    </row>
    <row r="19" spans="1:10" s="4" customFormat="1" x14ac:dyDescent="0.3">
      <c r="A19" s="4">
        <v>18</v>
      </c>
      <c r="B19" s="4">
        <v>8.1</v>
      </c>
      <c r="C19" s="4">
        <f t="shared" si="0"/>
        <v>-13.527825</v>
      </c>
      <c r="D19" s="4">
        <v>727</v>
      </c>
      <c r="E19" s="4">
        <f t="shared" si="1"/>
        <v>3.8313886276817351E-6</v>
      </c>
      <c r="F19" s="4">
        <f t="shared" si="2"/>
        <v>1.454</v>
      </c>
      <c r="G19" s="4">
        <f t="shared" si="3"/>
        <v>2.0249999999999999</v>
      </c>
      <c r="J19" s="4" t="e">
        <f t="shared" si="4"/>
        <v>#DIV/0!</v>
      </c>
    </row>
    <row r="20" spans="1:10" x14ac:dyDescent="0.3">
      <c r="A20">
        <v>19</v>
      </c>
      <c r="B20">
        <v>7.3</v>
      </c>
      <c r="C20">
        <f t="shared" si="0"/>
        <v>-13.627600000000001</v>
      </c>
      <c r="D20">
        <v>752</v>
      </c>
      <c r="E20">
        <f t="shared" si="1"/>
        <v>3.227209710276143E-6</v>
      </c>
      <c r="F20">
        <f t="shared" si="2"/>
        <v>1.504</v>
      </c>
      <c r="G20">
        <f t="shared" si="3"/>
        <v>1.825</v>
      </c>
      <c r="J20" t="e">
        <f t="shared" si="4"/>
        <v>#DIV/0!</v>
      </c>
    </row>
    <row r="21" spans="1:10" s="3" customFormat="1" x14ac:dyDescent="0.3">
      <c r="A21" s="3">
        <v>20</v>
      </c>
      <c r="B21" s="3">
        <v>8.5</v>
      </c>
      <c r="C21" s="3">
        <f t="shared" si="0"/>
        <v>-13.45725</v>
      </c>
      <c r="D21" s="3">
        <v>726</v>
      </c>
      <c r="E21" s="3">
        <f t="shared" si="1"/>
        <v>4.0316766462521533E-6</v>
      </c>
      <c r="F21" s="3">
        <f t="shared" si="2"/>
        <v>1.452</v>
      </c>
      <c r="G21" s="3">
        <f t="shared" si="3"/>
        <v>2.125</v>
      </c>
      <c r="J21" s="3" t="e">
        <f t="shared" si="4"/>
        <v>#DIV/0!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de Nobel</dc:creator>
  <cp:lastModifiedBy>Kyle de Nobel</cp:lastModifiedBy>
  <dcterms:created xsi:type="dcterms:W3CDTF">2015-06-05T18:17:20Z</dcterms:created>
  <dcterms:modified xsi:type="dcterms:W3CDTF">2026-03-07T17:56:38Z</dcterms:modified>
</cp:coreProperties>
</file>