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wner\Desktop\ECE 4014\RGA\RGA_Boards\phase90\JFET characterization\"/>
    </mc:Choice>
  </mc:AlternateContent>
  <xr:revisionPtr revIDLastSave="0" documentId="13_ncr:1_{5D431713-E92F-417B-8FBC-E1AAAC05BE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14" i="1"/>
  <c r="C15" i="1"/>
  <c r="C16" i="1"/>
  <c r="C17" i="1"/>
  <c r="C18" i="1"/>
  <c r="C19" i="1"/>
  <c r="C20" i="1"/>
  <c r="C2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G2" i="1"/>
  <c r="G3" i="1"/>
  <c r="G4" i="1"/>
  <c r="G5" i="1"/>
  <c r="G6" i="1"/>
  <c r="G7" i="1"/>
  <c r="G8" i="1"/>
  <c r="C8" i="1" s="1"/>
  <c r="G9" i="1"/>
  <c r="C9" i="1" s="1"/>
  <c r="G10" i="1"/>
  <c r="C10" i="1" s="1"/>
  <c r="G11" i="1"/>
  <c r="C11" i="1" s="1"/>
  <c r="G12" i="1"/>
  <c r="C12" i="1" s="1"/>
  <c r="G13" i="1"/>
  <c r="C13" i="1" s="1"/>
  <c r="G14" i="1"/>
  <c r="G15" i="1"/>
  <c r="G16" i="1"/>
  <c r="G17" i="1"/>
  <c r="G18" i="1"/>
  <c r="G19" i="1"/>
  <c r="G20" i="1"/>
  <c r="G2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<sst xmlns="http://schemas.openxmlformats.org/spreadsheetml/2006/main" count="10" uniqueCount="10">
  <si>
    <t>JFET number</t>
  </si>
  <si>
    <t>Vgs1</t>
  </si>
  <si>
    <t>Beta</t>
  </si>
  <si>
    <t>Vto</t>
  </si>
  <si>
    <t>Idss/4 (mA)</t>
  </si>
  <si>
    <t>Vin (mV)</t>
  </si>
  <si>
    <t>Vout (mV)</t>
  </si>
  <si>
    <t>Rdson2</t>
  </si>
  <si>
    <t>Idss (mA)</t>
  </si>
  <si>
    <t>Rgs1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</si>
</sst>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CD5A0-A869-49C9-8D48-AD834D5D2FC5}" name="Table1" displayName="Table1" ref="A1:J21" totalsRowShown="0">
  <autoFilter ref="A1:J21" xr:uid="{B46CD5A0-A869-49C9-8D48-AD834D5D2FC5}"/>
  <tableColumns count="10">
    <tableColumn id="1" xr3:uid="{9B547DEC-811B-4E63-A80F-AB8FCAA9868D}" name="JFET number"/>
    <tableColumn id="2" xr3:uid="{0388F1F5-6784-4F51-9BE0-DD0D4B2E34F4}" name="Idss (mA)"/>
    <tableColumn id="10" xr3:uid="{4F3BEE6B-9395-40E7-8758-EBF4E3CA9B48}" name="Vgs1" dataDxfId="0">
      <calculatedColumnFormula>0-15+G2*D2*0.001</calculatedColumnFormula>
    </tableColumn>
    <tableColumn id="3" xr3:uid="{EA397B9A-768D-425D-AFB5-214A5302FDA8}" name="Rgs1"/>
    <tableColumn id="4" xr3:uid="{34AB69A6-4FA6-4DE0-B121-6C932A717D84}" name="Beta" dataDxfId="3">
      <calculatedColumnFormula>B2/(4*D2*D2)</calculatedColumnFormula>
    </tableColumn>
    <tableColumn id="5" xr3:uid="{B3D0C7AD-ECDE-4382-9AEE-EF201B4C1419}" name="Vto" dataDxfId="1">
      <calculatedColumnFormula>2*D2*0.001</calculatedColumnFormula>
    </tableColumn>
    <tableColumn id="6" xr3:uid="{90732221-72A7-4750-8472-FD912D897A39}" name="Idss/4 (mA)" dataDxfId="2">
      <calculatedColumnFormula>B2/4</calculatedColumnFormula>
    </tableColumn>
    <tableColumn id="7" xr3:uid="{F74B3BEF-DD30-42A9-B3CA-26DA01E88213}" name="Vin (mV)"/>
    <tableColumn id="8" xr3:uid="{ED07ED67-59A7-4C04-AB09-63E7F88307EE}" name="Vout (mV)"/>
    <tableColumn id="9" xr3:uid="{724CB172-CA09-4430-8A5A-0D31ACF205E1}" name="Rdson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D14" sqref="D14"/>
    </sheetView>
  </sheetViews>
  <sheetFormatPr defaultRowHeight="14.4" x14ac:dyDescent="0.3"/>
  <cols>
    <col min="1" max="1" width="17.6640625" customWidth="1"/>
    <col min="2" max="3" width="14.6640625" customWidth="1"/>
    <col min="4" max="4" width="11.88671875" customWidth="1"/>
    <col min="5" max="5" width="15.5546875" customWidth="1"/>
    <col min="6" max="6" width="14" customWidth="1"/>
    <col min="7" max="7" width="14.33203125" customWidth="1"/>
    <col min="8" max="8" width="14.109375" customWidth="1"/>
    <col min="9" max="9" width="16.109375" customWidth="1"/>
    <col min="10" max="10" width="15.88671875" customWidth="1"/>
  </cols>
  <sheetData>
    <row r="1" spans="1:10" x14ac:dyDescent="0.3">
      <c r="A1" t="s">
        <v>0</v>
      </c>
      <c r="B1" t="s">
        <v>8</v>
      </c>
      <c r="C1" t="s">
        <v>1</v>
      </c>
      <c r="D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>
        <v>1</v>
      </c>
      <c r="B2">
        <v>7.92</v>
      </c>
      <c r="C2">
        <f t="shared" ref="C2:C21" si="0">0-15+G2*D2*0.001</f>
        <v>-13.98624</v>
      </c>
      <c r="D2">
        <v>512</v>
      </c>
      <c r="E2">
        <f t="shared" ref="E2:E21" si="1">B2/(4*D2*D2)</f>
        <v>7.5531005859374999E-6</v>
      </c>
      <c r="F2">
        <f t="shared" ref="F2:F21" si="2">2*D2*0.001</f>
        <v>1.024</v>
      </c>
      <c r="G2">
        <f t="shared" ref="G2:G21" si="3">B2/4</f>
        <v>1.98</v>
      </c>
    </row>
    <row r="3" spans="1:10" x14ac:dyDescent="0.3">
      <c r="A3">
        <v>2</v>
      </c>
      <c r="B3">
        <v>9.41</v>
      </c>
      <c r="C3">
        <f t="shared" si="0"/>
        <v>-13.807282499999999</v>
      </c>
      <c r="D3">
        <v>507</v>
      </c>
      <c r="E3">
        <f t="shared" si="1"/>
        <v>9.1519515734354158E-6</v>
      </c>
      <c r="F3">
        <f t="shared" si="2"/>
        <v>1.014</v>
      </c>
      <c r="G3">
        <f t="shared" si="3"/>
        <v>2.3525</v>
      </c>
    </row>
    <row r="4" spans="1:10" x14ac:dyDescent="0.3">
      <c r="A4">
        <v>3</v>
      </c>
      <c r="B4">
        <v>8.7309999999999999</v>
      </c>
      <c r="C4">
        <f t="shared" si="0"/>
        <v>-13.873701000000001</v>
      </c>
      <c r="D4">
        <v>516</v>
      </c>
      <c r="E4">
        <f t="shared" si="1"/>
        <v>8.1979373234781567E-6</v>
      </c>
      <c r="F4">
        <f t="shared" si="2"/>
        <v>1.032</v>
      </c>
      <c r="G4">
        <f t="shared" si="3"/>
        <v>2.18275</v>
      </c>
    </row>
    <row r="5" spans="1:10" x14ac:dyDescent="0.3">
      <c r="A5">
        <v>4</v>
      </c>
      <c r="B5">
        <v>8.68</v>
      </c>
      <c r="C5">
        <f t="shared" si="0"/>
        <v>-13.880279999999999</v>
      </c>
      <c r="D5">
        <v>516</v>
      </c>
      <c r="E5">
        <f t="shared" si="1"/>
        <v>8.1500510786611371E-6</v>
      </c>
      <c r="F5">
        <f t="shared" si="2"/>
        <v>1.032</v>
      </c>
      <c r="G5">
        <f t="shared" si="3"/>
        <v>2.17</v>
      </c>
    </row>
    <row r="6" spans="1:10" x14ac:dyDescent="0.3">
      <c r="A6">
        <v>5</v>
      </c>
      <c r="B6">
        <v>8.173</v>
      </c>
      <c r="C6">
        <f t="shared" si="0"/>
        <v>-13.947726250000001</v>
      </c>
      <c r="D6">
        <v>515</v>
      </c>
      <c r="E6">
        <f t="shared" si="1"/>
        <v>7.7038363653501748E-6</v>
      </c>
      <c r="F6">
        <f t="shared" si="2"/>
        <v>1.03</v>
      </c>
      <c r="G6">
        <f t="shared" si="3"/>
        <v>2.04325</v>
      </c>
    </row>
    <row r="7" spans="1:10" x14ac:dyDescent="0.3">
      <c r="A7">
        <v>6</v>
      </c>
      <c r="B7">
        <v>7.9749999999999996</v>
      </c>
      <c r="C7">
        <f t="shared" si="0"/>
        <v>-13.971225</v>
      </c>
      <c r="D7">
        <v>516</v>
      </c>
      <c r="E7">
        <f t="shared" si="1"/>
        <v>7.4880941650141211E-6</v>
      </c>
      <c r="F7">
        <f t="shared" si="2"/>
        <v>1.032</v>
      </c>
      <c r="G7">
        <f t="shared" si="3"/>
        <v>1.9937499999999999</v>
      </c>
    </row>
    <row r="8" spans="1:10" x14ac:dyDescent="0.3">
      <c r="A8">
        <v>7</v>
      </c>
      <c r="B8">
        <v>8.1150000000000002</v>
      </c>
      <c r="C8">
        <f t="shared" si="0"/>
        <v>-13.953165</v>
      </c>
      <c r="D8">
        <v>516</v>
      </c>
      <c r="E8">
        <f t="shared" si="1"/>
        <v>7.6195466017667211E-6</v>
      </c>
      <c r="F8">
        <f t="shared" si="2"/>
        <v>1.032</v>
      </c>
      <c r="G8">
        <f t="shared" si="3"/>
        <v>2.0287500000000001</v>
      </c>
    </row>
    <row r="9" spans="1:10" x14ac:dyDescent="0.3">
      <c r="A9">
        <v>8</v>
      </c>
      <c r="B9">
        <v>7.0049999999999999</v>
      </c>
      <c r="C9">
        <f t="shared" si="0"/>
        <v>-14.094603749999999</v>
      </c>
      <c r="D9">
        <v>517</v>
      </c>
      <c r="E9">
        <f t="shared" si="1"/>
        <v>6.5518970103520911E-6</v>
      </c>
      <c r="F9">
        <f t="shared" si="2"/>
        <v>1.034</v>
      </c>
      <c r="G9">
        <f t="shared" si="3"/>
        <v>1.75125</v>
      </c>
    </row>
    <row r="10" spans="1:10" x14ac:dyDescent="0.3">
      <c r="A10">
        <v>9</v>
      </c>
      <c r="B10">
        <v>7.2889999999999997</v>
      </c>
      <c r="C10">
        <f t="shared" si="0"/>
        <v>-14.061541249999999</v>
      </c>
      <c r="D10">
        <v>515</v>
      </c>
      <c r="E10">
        <f t="shared" si="1"/>
        <v>6.8705815816759356E-6</v>
      </c>
      <c r="F10">
        <f t="shared" si="2"/>
        <v>1.03</v>
      </c>
      <c r="G10">
        <f t="shared" si="3"/>
        <v>1.8222499999999999</v>
      </c>
    </row>
    <row r="11" spans="1:10" x14ac:dyDescent="0.3">
      <c r="A11">
        <v>10</v>
      </c>
      <c r="B11">
        <v>8.33</v>
      </c>
      <c r="C11">
        <f t="shared" si="0"/>
        <v>-13.931677499999999</v>
      </c>
      <c r="D11">
        <v>513</v>
      </c>
      <c r="E11">
        <f t="shared" si="1"/>
        <v>7.9131660643920827E-6</v>
      </c>
      <c r="F11">
        <f t="shared" si="2"/>
        <v>1.026</v>
      </c>
      <c r="G11">
        <f t="shared" si="3"/>
        <v>2.0825</v>
      </c>
    </row>
    <row r="12" spans="1:10" x14ac:dyDescent="0.3">
      <c r="A12">
        <v>11</v>
      </c>
      <c r="B12">
        <v>8.0559999999999992</v>
      </c>
      <c r="C12">
        <f t="shared" si="0"/>
        <v>-13.966818</v>
      </c>
      <c r="D12">
        <v>513</v>
      </c>
      <c r="E12">
        <f t="shared" si="1"/>
        <v>7.6528770485885488E-6</v>
      </c>
      <c r="F12">
        <f t="shared" si="2"/>
        <v>1.026</v>
      </c>
      <c r="G12">
        <f t="shared" si="3"/>
        <v>2.0139999999999998</v>
      </c>
    </row>
    <row r="13" spans="1:10" x14ac:dyDescent="0.3">
      <c r="A13">
        <v>12</v>
      </c>
      <c r="B13">
        <v>8.2170000000000005</v>
      </c>
      <c r="C13">
        <f t="shared" si="0"/>
        <v>-13.944115500000001</v>
      </c>
      <c r="D13">
        <v>514</v>
      </c>
      <c r="E13">
        <f t="shared" si="1"/>
        <v>7.7754772971581712E-6</v>
      </c>
      <c r="F13">
        <f t="shared" si="2"/>
        <v>1.028</v>
      </c>
      <c r="G13">
        <f t="shared" si="3"/>
        <v>2.0542500000000001</v>
      </c>
    </row>
    <row r="14" spans="1:10" x14ac:dyDescent="0.3">
      <c r="A14">
        <v>13</v>
      </c>
      <c r="C14">
        <f t="shared" si="0"/>
        <v>-15</v>
      </c>
      <c r="E14" t="e">
        <f t="shared" si="1"/>
        <v>#DIV/0!</v>
      </c>
      <c r="F14">
        <f t="shared" si="2"/>
        <v>0</v>
      </c>
      <c r="G14">
        <f t="shared" si="3"/>
        <v>0</v>
      </c>
    </row>
    <row r="15" spans="1:10" x14ac:dyDescent="0.3">
      <c r="A15">
        <v>14</v>
      </c>
      <c r="C15">
        <f t="shared" si="0"/>
        <v>-15</v>
      </c>
      <c r="E15" t="e">
        <f t="shared" si="1"/>
        <v>#DIV/0!</v>
      </c>
      <c r="F15">
        <f t="shared" si="2"/>
        <v>0</v>
      </c>
      <c r="G15">
        <f t="shared" si="3"/>
        <v>0</v>
      </c>
    </row>
    <row r="16" spans="1:10" x14ac:dyDescent="0.3">
      <c r="A16">
        <v>15</v>
      </c>
      <c r="C16">
        <f t="shared" si="0"/>
        <v>-15</v>
      </c>
      <c r="E16" t="e">
        <f t="shared" si="1"/>
        <v>#DIV/0!</v>
      </c>
      <c r="F16">
        <f t="shared" si="2"/>
        <v>0</v>
      </c>
      <c r="G16">
        <f t="shared" si="3"/>
        <v>0</v>
      </c>
    </row>
    <row r="17" spans="1:7" x14ac:dyDescent="0.3">
      <c r="A17">
        <v>16</v>
      </c>
      <c r="C17">
        <f t="shared" si="0"/>
        <v>-15</v>
      </c>
      <c r="E17" t="e">
        <f t="shared" si="1"/>
        <v>#DIV/0!</v>
      </c>
      <c r="F17">
        <f t="shared" si="2"/>
        <v>0</v>
      </c>
      <c r="G17">
        <f t="shared" si="3"/>
        <v>0</v>
      </c>
    </row>
    <row r="18" spans="1:7" x14ac:dyDescent="0.3">
      <c r="A18">
        <v>17</v>
      </c>
      <c r="C18">
        <f t="shared" si="0"/>
        <v>-15</v>
      </c>
      <c r="E18" t="e">
        <f t="shared" si="1"/>
        <v>#DIV/0!</v>
      </c>
      <c r="F18">
        <f t="shared" si="2"/>
        <v>0</v>
      </c>
      <c r="G18">
        <f t="shared" si="3"/>
        <v>0</v>
      </c>
    </row>
    <row r="19" spans="1:7" x14ac:dyDescent="0.3">
      <c r="A19">
        <v>18</v>
      </c>
      <c r="C19">
        <f t="shared" si="0"/>
        <v>-15</v>
      </c>
      <c r="E19" t="e">
        <f t="shared" si="1"/>
        <v>#DIV/0!</v>
      </c>
      <c r="F19">
        <f t="shared" si="2"/>
        <v>0</v>
      </c>
      <c r="G19">
        <f t="shared" si="3"/>
        <v>0</v>
      </c>
    </row>
    <row r="20" spans="1:7" x14ac:dyDescent="0.3">
      <c r="A20">
        <v>19</v>
      </c>
      <c r="C20">
        <f t="shared" si="0"/>
        <v>-15</v>
      </c>
      <c r="E20" t="e">
        <f t="shared" si="1"/>
        <v>#DIV/0!</v>
      </c>
      <c r="F20">
        <f t="shared" si="2"/>
        <v>0</v>
      </c>
      <c r="G20">
        <f t="shared" si="3"/>
        <v>0</v>
      </c>
    </row>
    <row r="21" spans="1:7" x14ac:dyDescent="0.3">
      <c r="A21">
        <v>20</v>
      </c>
      <c r="C21">
        <f t="shared" si="0"/>
        <v>-15</v>
      </c>
      <c r="E21" t="e">
        <f t="shared" si="1"/>
        <v>#DIV/0!</v>
      </c>
      <c r="F21">
        <f t="shared" si="2"/>
        <v>0</v>
      </c>
      <c r="G21">
        <f t="shared" si="3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de Nobel</dc:creator>
  <cp:lastModifiedBy>Kyle de Nobel</cp:lastModifiedBy>
  <dcterms:created xsi:type="dcterms:W3CDTF">2015-06-05T18:17:20Z</dcterms:created>
  <dcterms:modified xsi:type="dcterms:W3CDTF">2026-03-05T02:11:25Z</dcterms:modified>
</cp:coreProperties>
</file>